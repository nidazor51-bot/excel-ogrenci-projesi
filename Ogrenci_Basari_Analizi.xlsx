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A5D588F643EF87/Belgeler/"/>
    </mc:Choice>
  </mc:AlternateContent>
  <xr:revisionPtr revIDLastSave="0" documentId="8_{0166FC08-8AE1-49E8-85E3-23DA74649BFA}" xr6:coauthVersionLast="47" xr6:coauthVersionMax="47" xr10:uidLastSave="{00000000-0000-0000-0000-000000000000}"/>
  <bookViews>
    <workbookView xWindow="-108" yWindow="-108" windowWidth="23256" windowHeight="12456" activeTab="3" xr2:uid="{7D7FC31E-C758-4948-AFB8-F06CC142002D}"/>
  </bookViews>
  <sheets>
    <sheet name="Veri" sheetId="1" r:id="rId1"/>
    <sheet name="ÖZET TABLO" sheetId="6" r:id="rId2"/>
    <sheet name="ANALİZ" sheetId="2" r:id="rId3"/>
    <sheet name="DASHBOARD" sheetId="9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9" l="1"/>
  <c r="H9" i="9"/>
  <c r="E9" i="9"/>
  <c r="B9" i="9"/>
  <c r="K5" i="9"/>
  <c r="H5" i="9"/>
  <c r="E5" i="9"/>
  <c r="B5" i="9"/>
  <c r="I4" i="2"/>
  <c r="I5" i="2"/>
  <c r="I6" i="2"/>
  <c r="I7" i="2"/>
  <c r="H4" i="2"/>
  <c r="H5" i="2"/>
  <c r="H6" i="2"/>
  <c r="H7" i="2"/>
  <c r="I3" i="2"/>
  <c r="H3" i="2"/>
  <c r="B7" i="2"/>
  <c r="B6" i="2"/>
  <c r="B5" i="2"/>
  <c r="B4" i="2"/>
  <c r="B3" i="2"/>
  <c r="B2" i="2"/>
  <c r="B1" i="2"/>
  <c r="B11" i="6"/>
  <c r="B10" i="6"/>
  <c r="B9" i="6"/>
  <c r="B8" i="6"/>
  <c r="D4" i="6"/>
  <c r="C4" i="6"/>
  <c r="B4" i="6"/>
  <c r="D3" i="6"/>
  <c r="C3" i="6"/>
  <c r="B3" i="6"/>
  <c r="D2" i="6"/>
  <c r="C2" i="6"/>
  <c r="B2" i="6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</calcChain>
</file>

<file path=xl/sharedStrings.xml><?xml version="1.0" encoding="utf-8"?>
<sst xmlns="http://schemas.openxmlformats.org/spreadsheetml/2006/main" count="145" uniqueCount="90">
  <si>
    <t>Öğrenci No</t>
  </si>
  <si>
    <t>Öğrenci Adı</t>
  </si>
  <si>
    <t>Bölüm</t>
  </si>
  <si>
    <t>Vize</t>
  </si>
  <si>
    <t>Final</t>
  </si>
  <si>
    <t>Ahmet Yılmaz</t>
  </si>
  <si>
    <t>İrem Yıldız</t>
  </si>
  <si>
    <t>Ayşe Kaya</t>
  </si>
  <si>
    <t>Mehmet Demir</t>
  </si>
  <si>
    <t>Zeynep Çelik</t>
  </si>
  <si>
    <t>Burak Şahin</t>
  </si>
  <si>
    <t>Elif Aydın</t>
  </si>
  <si>
    <t>Mert Özkan</t>
  </si>
  <si>
    <t>Emre Arslan</t>
  </si>
  <si>
    <t>Buse Koç</t>
  </si>
  <si>
    <t>Can Kılıç</t>
  </si>
  <si>
    <t>Sude Kurt</t>
  </si>
  <si>
    <t>Kerem Aksoy</t>
  </si>
  <si>
    <t>Ece Şahin</t>
  </si>
  <si>
    <t>Oğuzhan Yıldırım</t>
  </si>
  <si>
    <t>Derya Aslan</t>
  </si>
  <si>
    <t>Furkan Polat</t>
  </si>
  <si>
    <t>Nazlı Erdem</t>
  </si>
  <si>
    <t>Kaan Taş</t>
  </si>
  <si>
    <t>Ceren Güneş</t>
  </si>
  <si>
    <t>Ali Çetin</t>
  </si>
  <si>
    <t>Melis Yalçın</t>
  </si>
  <si>
    <t>Berkay Doğan</t>
  </si>
  <si>
    <t>Selin Karaca</t>
  </si>
  <si>
    <t>Eren Keskin</t>
  </si>
  <si>
    <t>Damla Bulut</t>
  </si>
  <si>
    <t>Tolga Özdemir</t>
  </si>
  <si>
    <t>Nisa Kaplan</t>
  </si>
  <si>
    <t>Barış Acar</t>
  </si>
  <si>
    <t>Yağmur Tekin</t>
  </si>
  <si>
    <t>Okan Karataş</t>
  </si>
  <si>
    <t>Esra Öztürk</t>
  </si>
  <si>
    <t>Hakan Tunç</t>
  </si>
  <si>
    <t>Gülce Yaman</t>
  </si>
  <si>
    <t>Deniz Eren</t>
  </si>
  <si>
    <t>Sarp Demirtaş</t>
  </si>
  <si>
    <t>Aysima Korkmaz</t>
  </si>
  <si>
    <t>Yusuf Işık</t>
  </si>
  <si>
    <t>Aslı Çoban</t>
  </si>
  <si>
    <t>Arda Ergin</t>
  </si>
  <si>
    <t>İlayda Sezer</t>
  </si>
  <si>
    <t>Samet Uçar</t>
  </si>
  <si>
    <t>Nazan Akın</t>
  </si>
  <si>
    <t>Batuhan Ekinci</t>
  </si>
  <si>
    <t>Ozan Karaman</t>
  </si>
  <si>
    <t>Selma Duman</t>
  </si>
  <si>
    <t>Efe Türkmen</t>
  </si>
  <si>
    <t>Nehir Yüksel</t>
  </si>
  <si>
    <t>Uğur Kaya</t>
  </si>
  <si>
    <t>Emir Dağcı</t>
  </si>
  <si>
    <t>Ekonometri</t>
  </si>
  <si>
    <t>Ortalama</t>
  </si>
  <si>
    <t>Durum</t>
  </si>
  <si>
    <t>SINIF ORTALAMASI</t>
  </si>
  <si>
    <t>EN YÜKSEK ORTALAMA</t>
  </si>
  <si>
    <t>EN DÜŞÜK ORTALAMA</t>
  </si>
  <si>
    <t>GEÇEN ÖĞRENCİ SAYISI</t>
  </si>
  <si>
    <t>KALAN ÖĞRENCİ SAYISI</t>
  </si>
  <si>
    <t>BAŞARI ORANI</t>
  </si>
  <si>
    <t>BAŞARISIZLIK ORANI</t>
  </si>
  <si>
    <t>Satır Etiketleri</t>
  </si>
  <si>
    <t>Genel Toplam</t>
  </si>
  <si>
    <t>Geçti</t>
  </si>
  <si>
    <t>Kaldı</t>
  </si>
  <si>
    <t>Ortalama Vize</t>
  </si>
  <si>
    <t>Ortalama Final</t>
  </si>
  <si>
    <t>TOPLAM ÖĞRENCİ</t>
  </si>
  <si>
    <t>GEÇEN ÖĞRENCİ</t>
  </si>
  <si>
    <t>KALAN ÖĞRENCİ</t>
  </si>
  <si>
    <t>Başarı Sırası</t>
  </si>
  <si>
    <t>Başarı Kategorisi</t>
  </si>
  <si>
    <t>Çok İyi</t>
  </si>
  <si>
    <t>İyi</t>
  </si>
  <si>
    <t>Orta</t>
  </si>
  <si>
    <t>Başarısız</t>
  </si>
  <si>
    <t>Öğrenci Sayısı</t>
  </si>
  <si>
    <t>EN BAŞARILI 5 ÖĞRENCİ</t>
  </si>
  <si>
    <t>Sıra</t>
  </si>
  <si>
    <t>Öğrenci</t>
  </si>
  <si>
    <t>ÖĞRENCİ BAŞARI ANALİZİ</t>
  </si>
  <si>
    <t>VİZE ORTALAMASI</t>
  </si>
  <si>
    <t>FİNAL ORTALAMASI</t>
  </si>
  <si>
    <t>Veri Seti: 50 kişilik örnek öğrenci verisi</t>
  </si>
  <si>
    <t>Hesaplama: Vize %40 + Final %60</t>
  </si>
  <si>
    <t>Geçme Notu: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</si>
</sst>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Arial Unicode MS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Arial Unicode MS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9" fontId="0" fillId="0" borderId="0" xfId="1" applyFont="1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5" fillId="0" borderId="0" xfId="0" applyFont="1" applyAlignment="1">
      <alignment vertic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9" fontId="8" fillId="2" borderId="0" xfId="1" applyFont="1" applyFill="1" applyAlignment="1">
      <alignment horizontal="center"/>
    </xf>
    <xf numFmtId="0" fontId="0" fillId="3" borderId="0" xfId="0" applyFill="1"/>
    <xf numFmtId="0" fontId="9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Yüzde" xfId="1" builtinId="5"/>
  </cellStyles>
  <dxfs count="9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6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BAŞARI</a:t>
            </a:r>
            <a:r>
              <a:rPr lang="tr-TR" baseline="0"/>
              <a:t> KATEGORİLERİ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'ÖZET TABLO'!$B$7</c:f>
              <c:strCache>
                <c:ptCount val="1"/>
                <c:pt idx="0">
                  <c:v>Öğrenci Sayısı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96-4A7C-BA0C-9F13E80053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96-4A7C-BA0C-9F13E80053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96-4A7C-BA0C-9F13E80053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96-4A7C-BA0C-9F13E800539F}"/>
              </c:ext>
            </c:extLst>
          </c:dPt>
          <c:cat>
            <c:strRef>
              <c:f>'ÖZET TABLO'!$A$8:$A$11</c:f>
              <c:strCache>
                <c:ptCount val="4"/>
                <c:pt idx="0">
                  <c:v>Çok İyi</c:v>
                </c:pt>
                <c:pt idx="1">
                  <c:v>İyi</c:v>
                </c:pt>
                <c:pt idx="2">
                  <c:v>Orta</c:v>
                </c:pt>
                <c:pt idx="3">
                  <c:v>Başarısız</c:v>
                </c:pt>
              </c:strCache>
            </c:strRef>
          </c:cat>
          <c:val>
            <c:numRef>
              <c:f>'ÖZET TABLO'!$B$8:$B$11</c:f>
              <c:numCache>
                <c:formatCode>General</c:formatCode>
                <c:ptCount val="4"/>
                <c:pt idx="0">
                  <c:v>10</c:v>
                </c:pt>
                <c:pt idx="1">
                  <c:v>16</c:v>
                </c:pt>
                <c:pt idx="2">
                  <c:v>10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96-4A7C-BA0C-9F13E8005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GEÇTİ/KALDI</a:t>
            </a:r>
            <a:r>
              <a:rPr lang="tr-TR" baseline="0"/>
              <a:t> DAĞILIMI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'ÖZET TABLO'!$B$1</c:f>
              <c:strCache>
                <c:ptCount val="1"/>
                <c:pt idx="0">
                  <c:v>Öğrenci Sayısı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'ÖZET TABLO'!$A$2:$A$3</c:f>
              <c:strCache>
                <c:ptCount val="2"/>
                <c:pt idx="0">
                  <c:v>Geçti</c:v>
                </c:pt>
                <c:pt idx="1">
                  <c:v>Kaldı</c:v>
                </c:pt>
              </c:strCache>
            </c:strRef>
          </c:cat>
          <c:val>
            <c:numRef>
              <c:f>'ÖZET TABLO'!$B$2:$B$3</c:f>
              <c:numCache>
                <c:formatCode>General</c:formatCode>
                <c:ptCount val="2"/>
                <c:pt idx="0">
                  <c:v>36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1-4EBF-BD77-3C515CA30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779456"/>
        <c:axId val="230564784"/>
      </c:barChart>
      <c:catAx>
        <c:axId val="21677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30564784"/>
        <c:crosses val="autoZero"/>
        <c:auto val="1"/>
        <c:lblAlgn val="ctr"/>
        <c:lblOffset val="100"/>
        <c:noMultiLvlLbl val="0"/>
      </c:catAx>
      <c:valAx>
        <c:axId val="23056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6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10</xdr:row>
      <xdr:rowOff>152400</xdr:rowOff>
    </xdr:from>
    <xdr:to>
      <xdr:col>6</xdr:col>
      <xdr:colOff>66675</xdr:colOff>
      <xdr:row>25</xdr:row>
      <xdr:rowOff>19050</xdr:rowOff>
    </xdr:to>
    <xdr:graphicFrame macro="">
      <xdr:nvGraphicFramePr>
        <xdr:cNvPr id="17" name="Grafik 16">
          <a:extLst>
            <a:ext uri="{FF2B5EF4-FFF2-40B4-BE49-F238E27FC236}">
              <a16:creationId xmlns:a16="http://schemas.microsoft.com/office/drawing/2014/main" id="{3A1F5933-6893-4AFF-BB8D-592629602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10</xdr:row>
      <xdr:rowOff>152400</xdr:rowOff>
    </xdr:from>
    <xdr:to>
      <xdr:col>12</xdr:col>
      <xdr:colOff>342900</xdr:colOff>
      <xdr:row>25</xdr:row>
      <xdr:rowOff>66675</xdr:rowOff>
    </xdr:to>
    <xdr:graphicFrame macro="">
      <xdr:nvGraphicFramePr>
        <xdr:cNvPr id="18" name="Grafik 17">
          <a:extLst>
            <a:ext uri="{FF2B5EF4-FFF2-40B4-BE49-F238E27FC236}">
              <a16:creationId xmlns:a16="http://schemas.microsoft.com/office/drawing/2014/main" id="{FFBCFDDF-38D8-46DD-96A1-145FE6AE7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6CF8F-56D5-4588-8ACC-20C47F3BACA6}" name="Tablo1" displayName="Tablo1" ref="A1:I51" totalsRowShown="0" headerRowDxfId="8" dataDxfId="7">
  <autoFilter ref="A1:I51" xr:uid="{1356CF8F-56D5-4588-8ACC-20C47F3BACA6}"/>
  <tableColumns count="9">
    <tableColumn id="1" xr3:uid="{5B0F1573-A4FC-4688-9F54-07D2313E62B5}" name="Öğrenci No" dataDxfId="6"/>
    <tableColumn id="2" xr3:uid="{96F5715A-A04D-4668-A10C-747CBD623ABC}" name="Öğrenci Adı" dataDxfId="5"/>
    <tableColumn id="3" xr3:uid="{4966724D-3DF2-4BBC-8A10-CBCD5181FA67}" name="Bölüm" dataDxfId="4"/>
    <tableColumn id="4" xr3:uid="{8DD9AAFF-C59F-4584-B3E8-BA7E4859B1D3}" name="Vize" dataDxfId="3"/>
    <tableColumn id="5" xr3:uid="{F210C2A0-3F77-42CB-A633-A2590138737B}" name="Final" dataDxfId="2"/>
    <tableColumn id="6" xr3:uid="{E5BFD3E7-61B4-43FD-8F21-2787D96A43D8}" name="Ortalama" dataDxfId="1">
      <calculatedColumnFormula>D2*40%+E2*60%</calculatedColumnFormula>
    </tableColumn>
    <tableColumn id="7" xr3:uid="{CB5428A8-021D-465B-A431-CA65650CB2B9}" name="Durum" dataDxfId="0">
      <calculatedColumnFormula>IF(F2&gt;=60,"Geçti","Kaldı")</calculatedColumnFormula>
    </tableColumn>
    <tableColumn id="8" xr3:uid="{59B937B1-44D4-470C-B806-489646C0238F}" name="Başarı Sırası">
      <calculatedColumnFormula>1+COUNTIF($F$2:$F$51,"&gt;"&amp;F2)</calculatedColumnFormula>
    </tableColumn>
    <tableColumn id="9" xr3:uid="{BBF91B1A-AA50-4115-BF93-337C2BD4D848}" name="Başarı Kategorisi">
      <calculatedColumnFormula>IF(F2&gt;=85,"Çok İyi",IF(F2&gt;=70,"İyi",IF(F2&gt;=60,"Orta","Başarısız")))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886F-24C4-428F-B9A3-C8E8D3A82DBB}">
  <dimension ref="A1:I52"/>
  <sheetViews>
    <sheetView workbookViewId="0">
      <selection activeCell="M17" sqref="M17"/>
    </sheetView>
  </sheetViews>
  <sheetFormatPr defaultRowHeight="14.4"/>
  <cols>
    <col min="1" max="7" width="14.109375" customWidth="1"/>
    <col min="8" max="8" width="14.6640625" customWidth="1"/>
    <col min="9" max="9" width="19.21875" customWidth="1"/>
  </cols>
  <sheetData>
    <row r="1" spans="1:9" ht="15.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56</v>
      </c>
      <c r="G1" s="5" t="s">
        <v>57</v>
      </c>
      <c r="H1" s="5" t="s">
        <v>74</v>
      </c>
      <c r="I1" s="7" t="s">
        <v>75</v>
      </c>
    </row>
    <row r="2" spans="1:9">
      <c r="A2" s="2">
        <v>1001</v>
      </c>
      <c r="B2" s="1" t="s">
        <v>5</v>
      </c>
      <c r="C2" s="1" t="s">
        <v>55</v>
      </c>
      <c r="D2" s="3">
        <v>72</v>
      </c>
      <c r="E2" s="1">
        <v>81</v>
      </c>
      <c r="F2" s="1">
        <f>D2*40%+E2*60%</f>
        <v>77.400000000000006</v>
      </c>
      <c r="G2" s="1" t="str">
        <f>IF(F2&gt;=60,"Geçti","Kaldı")</f>
        <v>Geçti</v>
      </c>
      <c r="H2">
        <v>19</v>
      </c>
      <c r="I2" t="str">
        <f>IF(F2&gt;=85,"Çok İyi",IF(F2&gt;=70,"İyi",IF(F2&gt;=60,"Orta","Başarısız")))</f>
        <v>İyi</v>
      </c>
    </row>
    <row r="3" spans="1:9">
      <c r="A3" s="1">
        <v>1002</v>
      </c>
      <c r="B3" s="1" t="s">
        <v>6</v>
      </c>
      <c r="C3" s="1" t="s">
        <v>55</v>
      </c>
      <c r="D3" s="4">
        <v>65</v>
      </c>
      <c r="E3" s="1">
        <v>74</v>
      </c>
      <c r="F3" s="1">
        <f t="shared" ref="F3:F51" si="0">D3*40%+E3*60%</f>
        <v>70.400000000000006</v>
      </c>
      <c r="G3" s="1" t="str">
        <f t="shared" ref="G3:G51" si="1">IF(F3&gt;=60,"Geçti","Kaldı")</f>
        <v>Geçti</v>
      </c>
      <c r="H3">
        <f t="shared" ref="H3:H51" si="2">1+COUNTIF($F$2:$F$51,"&gt;"&amp;F3)</f>
        <v>26</v>
      </c>
      <c r="I3" t="str">
        <f t="shared" ref="I3:I51" si="3">IF(F3&gt;=85,"Çok İyi",IF(F3&gt;=70,"İyi",IF(F3&gt;=60,"Orta","Başarısız")))</f>
        <v>İyi</v>
      </c>
    </row>
    <row r="4" spans="1:9">
      <c r="A4" s="1">
        <v>1003</v>
      </c>
      <c r="B4" s="1" t="s">
        <v>8</v>
      </c>
      <c r="C4" s="1" t="s">
        <v>55</v>
      </c>
      <c r="D4" s="1">
        <v>48</v>
      </c>
      <c r="E4" s="1">
        <v>55</v>
      </c>
      <c r="F4" s="1">
        <f t="shared" si="0"/>
        <v>52.2</v>
      </c>
      <c r="G4" s="1" t="str">
        <f t="shared" si="1"/>
        <v>Kaldı</v>
      </c>
      <c r="H4">
        <f t="shared" si="2"/>
        <v>42</v>
      </c>
      <c r="I4" t="str">
        <f t="shared" si="3"/>
        <v>Başarısız</v>
      </c>
    </row>
    <row r="5" spans="1:9">
      <c r="A5" s="1">
        <v>1004</v>
      </c>
      <c r="B5" s="1" t="s">
        <v>7</v>
      </c>
      <c r="C5" s="1" t="s">
        <v>55</v>
      </c>
      <c r="D5" s="1">
        <v>85</v>
      </c>
      <c r="E5" s="1">
        <v>92</v>
      </c>
      <c r="F5" s="1">
        <f t="shared" si="0"/>
        <v>89.199999999999989</v>
      </c>
      <c r="G5" s="1" t="str">
        <f t="shared" si="1"/>
        <v>Geçti</v>
      </c>
      <c r="H5">
        <f t="shared" si="2"/>
        <v>6</v>
      </c>
      <c r="I5" t="str">
        <f t="shared" si="3"/>
        <v>Çok İyi</v>
      </c>
    </row>
    <row r="6" spans="1:9">
      <c r="A6" s="1">
        <v>1005</v>
      </c>
      <c r="B6" s="1" t="s">
        <v>9</v>
      </c>
      <c r="C6" s="1" t="s">
        <v>55</v>
      </c>
      <c r="D6" s="1">
        <v>56</v>
      </c>
      <c r="E6" s="1">
        <v>63</v>
      </c>
      <c r="F6" s="1">
        <f t="shared" si="0"/>
        <v>60.2</v>
      </c>
      <c r="G6" s="1" t="str">
        <f t="shared" si="1"/>
        <v>Geçti</v>
      </c>
      <c r="H6">
        <f t="shared" si="2"/>
        <v>36</v>
      </c>
      <c r="I6" t="str">
        <f t="shared" si="3"/>
        <v>Orta</v>
      </c>
    </row>
    <row r="7" spans="1:9">
      <c r="A7" s="1">
        <v>1006</v>
      </c>
      <c r="B7" s="1" t="s">
        <v>10</v>
      </c>
      <c r="C7" s="1" t="s">
        <v>55</v>
      </c>
      <c r="D7" s="1">
        <v>91</v>
      </c>
      <c r="E7" s="1">
        <v>88</v>
      </c>
      <c r="F7" s="1">
        <f t="shared" si="0"/>
        <v>89.199999999999989</v>
      </c>
      <c r="G7" s="1" t="str">
        <f t="shared" si="1"/>
        <v>Geçti</v>
      </c>
      <c r="H7">
        <f t="shared" si="2"/>
        <v>6</v>
      </c>
      <c r="I7" t="str">
        <f t="shared" si="3"/>
        <v>Çok İyi</v>
      </c>
    </row>
    <row r="8" spans="1:9">
      <c r="A8" s="1">
        <v>1007</v>
      </c>
      <c r="B8" s="1" t="s">
        <v>11</v>
      </c>
      <c r="C8" s="1" t="s">
        <v>55</v>
      </c>
      <c r="D8" s="1">
        <v>43</v>
      </c>
      <c r="E8" s="1">
        <v>51</v>
      </c>
      <c r="F8" s="1">
        <f t="shared" si="0"/>
        <v>47.8</v>
      </c>
      <c r="G8" s="1" t="str">
        <f t="shared" si="1"/>
        <v>Kaldı</v>
      </c>
      <c r="H8">
        <f t="shared" si="2"/>
        <v>47</v>
      </c>
      <c r="I8" t="str">
        <f t="shared" si="3"/>
        <v>Başarısız</v>
      </c>
    </row>
    <row r="9" spans="1:9">
      <c r="A9" s="1">
        <v>1008</v>
      </c>
      <c r="B9" s="1" t="s">
        <v>12</v>
      </c>
      <c r="C9" s="1" t="s">
        <v>55</v>
      </c>
      <c r="D9" s="1">
        <v>78</v>
      </c>
      <c r="E9" s="1">
        <v>84</v>
      </c>
      <c r="F9" s="1">
        <f t="shared" si="0"/>
        <v>81.599999999999994</v>
      </c>
      <c r="G9" s="1" t="str">
        <f t="shared" si="1"/>
        <v>Geçti</v>
      </c>
      <c r="H9">
        <f t="shared" si="2"/>
        <v>13</v>
      </c>
      <c r="I9" t="str">
        <f t="shared" si="3"/>
        <v>İyi</v>
      </c>
    </row>
    <row r="10" spans="1:9">
      <c r="A10" s="1">
        <v>1009</v>
      </c>
      <c r="B10" s="1" t="s">
        <v>13</v>
      </c>
      <c r="C10" s="1" t="s">
        <v>55</v>
      </c>
      <c r="D10" s="1">
        <v>62</v>
      </c>
      <c r="E10" s="1">
        <v>70</v>
      </c>
      <c r="F10" s="1">
        <f t="shared" si="0"/>
        <v>66.8</v>
      </c>
      <c r="G10" s="1" t="str">
        <f t="shared" si="1"/>
        <v>Geçti</v>
      </c>
      <c r="H10">
        <f t="shared" si="2"/>
        <v>29</v>
      </c>
      <c r="I10" t="str">
        <f t="shared" si="3"/>
        <v>Orta</v>
      </c>
    </row>
    <row r="11" spans="1:9">
      <c r="A11" s="1">
        <v>1010</v>
      </c>
      <c r="B11" s="1" t="s">
        <v>14</v>
      </c>
      <c r="C11" s="1" t="s">
        <v>55</v>
      </c>
      <c r="D11" s="1">
        <v>54</v>
      </c>
      <c r="E11" s="1">
        <v>68</v>
      </c>
      <c r="F11" s="1">
        <f t="shared" si="0"/>
        <v>62.4</v>
      </c>
      <c r="G11" s="1" t="str">
        <f t="shared" si="1"/>
        <v>Geçti</v>
      </c>
      <c r="H11">
        <f t="shared" si="2"/>
        <v>32</v>
      </c>
      <c r="I11" t="str">
        <f t="shared" si="3"/>
        <v>Orta</v>
      </c>
    </row>
    <row r="12" spans="1:9">
      <c r="A12" s="1">
        <v>1011</v>
      </c>
      <c r="B12" s="1" t="s">
        <v>15</v>
      </c>
      <c r="C12" s="1" t="s">
        <v>55</v>
      </c>
      <c r="D12" s="1">
        <v>37</v>
      </c>
      <c r="E12" s="1">
        <v>45</v>
      </c>
      <c r="F12" s="1">
        <f t="shared" si="0"/>
        <v>41.8</v>
      </c>
      <c r="G12" s="1" t="str">
        <f t="shared" si="1"/>
        <v>Kaldı</v>
      </c>
      <c r="H12">
        <f t="shared" si="2"/>
        <v>49</v>
      </c>
      <c r="I12" t="str">
        <f t="shared" si="3"/>
        <v>Başarısız</v>
      </c>
    </row>
    <row r="13" spans="1:9">
      <c r="A13" s="1">
        <v>1012</v>
      </c>
      <c r="B13" s="1" t="s">
        <v>16</v>
      </c>
      <c r="C13" s="1" t="s">
        <v>55</v>
      </c>
      <c r="D13" s="1">
        <v>88</v>
      </c>
      <c r="E13" s="1">
        <v>91</v>
      </c>
      <c r="F13" s="1">
        <f t="shared" si="0"/>
        <v>89.800000000000011</v>
      </c>
      <c r="G13" s="1" t="str">
        <f t="shared" si="1"/>
        <v>Geçti</v>
      </c>
      <c r="H13">
        <f t="shared" si="2"/>
        <v>4</v>
      </c>
      <c r="I13" t="str">
        <f t="shared" si="3"/>
        <v>Çok İyi</v>
      </c>
    </row>
    <row r="14" spans="1:9">
      <c r="A14" s="1">
        <v>1013</v>
      </c>
      <c r="B14" s="1" t="s">
        <v>17</v>
      </c>
      <c r="C14" s="1" t="s">
        <v>55</v>
      </c>
      <c r="D14" s="1">
        <v>71</v>
      </c>
      <c r="E14" s="1">
        <v>76</v>
      </c>
      <c r="F14" s="1">
        <f t="shared" si="0"/>
        <v>74</v>
      </c>
      <c r="G14" s="1" t="str">
        <f t="shared" si="1"/>
        <v>Geçti</v>
      </c>
      <c r="H14">
        <f t="shared" si="2"/>
        <v>21</v>
      </c>
      <c r="I14" t="str">
        <f t="shared" si="3"/>
        <v>İyi</v>
      </c>
    </row>
    <row r="15" spans="1:9">
      <c r="A15" s="1">
        <v>1014</v>
      </c>
      <c r="B15" s="1" t="s">
        <v>18</v>
      </c>
      <c r="C15" s="1" t="s">
        <v>55</v>
      </c>
      <c r="D15" s="1">
        <v>59</v>
      </c>
      <c r="E15" s="1">
        <v>62</v>
      </c>
      <c r="F15" s="1">
        <f t="shared" si="0"/>
        <v>60.8</v>
      </c>
      <c r="G15" s="1" t="str">
        <f t="shared" si="1"/>
        <v>Geçti</v>
      </c>
      <c r="H15">
        <f t="shared" si="2"/>
        <v>35</v>
      </c>
      <c r="I15" t="str">
        <f t="shared" si="3"/>
        <v>Orta</v>
      </c>
    </row>
    <row r="16" spans="1:9">
      <c r="A16" s="1">
        <v>1015</v>
      </c>
      <c r="B16" s="1" t="s">
        <v>19</v>
      </c>
      <c r="C16" s="1" t="s">
        <v>55</v>
      </c>
      <c r="D16" s="1">
        <v>46</v>
      </c>
      <c r="E16" s="1">
        <v>58</v>
      </c>
      <c r="F16" s="1">
        <f t="shared" si="0"/>
        <v>53.2</v>
      </c>
      <c r="G16" s="1" t="str">
        <f t="shared" si="1"/>
        <v>Kaldı</v>
      </c>
      <c r="H16">
        <f t="shared" si="2"/>
        <v>40</v>
      </c>
      <c r="I16" t="str">
        <f t="shared" si="3"/>
        <v>Başarısız</v>
      </c>
    </row>
    <row r="17" spans="1:9">
      <c r="A17" s="1">
        <v>1016</v>
      </c>
      <c r="B17" s="1" t="s">
        <v>20</v>
      </c>
      <c r="C17" s="1" t="s">
        <v>55</v>
      </c>
      <c r="D17" s="1">
        <v>82</v>
      </c>
      <c r="E17" s="1">
        <v>79</v>
      </c>
      <c r="F17" s="1">
        <f t="shared" si="0"/>
        <v>80.2</v>
      </c>
      <c r="G17" s="1" t="str">
        <f t="shared" si="1"/>
        <v>Geçti</v>
      </c>
      <c r="H17">
        <f t="shared" si="2"/>
        <v>15</v>
      </c>
      <c r="I17" t="str">
        <f t="shared" si="3"/>
        <v>İyi</v>
      </c>
    </row>
    <row r="18" spans="1:9">
      <c r="A18" s="1">
        <v>1017</v>
      </c>
      <c r="B18" s="1" t="s">
        <v>21</v>
      </c>
      <c r="C18" s="1" t="s">
        <v>55</v>
      </c>
      <c r="D18" s="1">
        <v>68</v>
      </c>
      <c r="E18" s="1">
        <v>73</v>
      </c>
      <c r="F18" s="1">
        <f t="shared" si="0"/>
        <v>71</v>
      </c>
      <c r="G18" s="1" t="str">
        <f t="shared" si="1"/>
        <v>Geçti</v>
      </c>
      <c r="H18">
        <f t="shared" si="2"/>
        <v>24</v>
      </c>
      <c r="I18" t="str">
        <f t="shared" si="3"/>
        <v>İyi</v>
      </c>
    </row>
    <row r="19" spans="1:9">
      <c r="A19" s="1">
        <v>1018</v>
      </c>
      <c r="B19" s="1" t="s">
        <v>22</v>
      </c>
      <c r="C19" s="1" t="s">
        <v>55</v>
      </c>
      <c r="D19" s="1">
        <v>94</v>
      </c>
      <c r="E19" s="1">
        <v>96</v>
      </c>
      <c r="F19" s="1">
        <f t="shared" si="0"/>
        <v>95.199999999999989</v>
      </c>
      <c r="G19" s="1" t="str">
        <f t="shared" si="1"/>
        <v>Geçti</v>
      </c>
      <c r="H19">
        <f t="shared" si="2"/>
        <v>1</v>
      </c>
      <c r="I19" t="str">
        <f t="shared" si="3"/>
        <v>Çok İyi</v>
      </c>
    </row>
    <row r="20" spans="1:9">
      <c r="A20" s="1">
        <v>1019</v>
      </c>
      <c r="B20" s="1" t="s">
        <v>23</v>
      </c>
      <c r="C20" s="1" t="s">
        <v>55</v>
      </c>
      <c r="D20" s="1">
        <v>52</v>
      </c>
      <c r="E20" s="1">
        <v>49</v>
      </c>
      <c r="F20" s="1">
        <f t="shared" si="0"/>
        <v>50.2</v>
      </c>
      <c r="G20" s="1" t="str">
        <f t="shared" si="1"/>
        <v>Kaldı</v>
      </c>
      <c r="H20">
        <f t="shared" si="2"/>
        <v>44</v>
      </c>
      <c r="I20" t="str">
        <f t="shared" si="3"/>
        <v>Başarısız</v>
      </c>
    </row>
    <row r="21" spans="1:9">
      <c r="A21" s="1">
        <v>1020</v>
      </c>
      <c r="B21" s="1" t="s">
        <v>24</v>
      </c>
      <c r="C21" s="1" t="s">
        <v>55</v>
      </c>
      <c r="D21" s="1">
        <v>76</v>
      </c>
      <c r="E21" s="1">
        <v>82</v>
      </c>
      <c r="F21" s="1">
        <f t="shared" si="0"/>
        <v>79.599999999999994</v>
      </c>
      <c r="G21" s="1" t="str">
        <f t="shared" si="1"/>
        <v>Geçti</v>
      </c>
      <c r="H21">
        <f t="shared" si="2"/>
        <v>17</v>
      </c>
      <c r="I21" t="str">
        <f t="shared" si="3"/>
        <v>İyi</v>
      </c>
    </row>
    <row r="22" spans="1:9">
      <c r="A22" s="1">
        <v>1021</v>
      </c>
      <c r="B22" s="1" t="s">
        <v>25</v>
      </c>
      <c r="C22" s="1" t="s">
        <v>55</v>
      </c>
      <c r="D22" s="1">
        <v>61</v>
      </c>
      <c r="E22" s="1">
        <v>67</v>
      </c>
      <c r="F22" s="1">
        <f t="shared" si="0"/>
        <v>64.599999999999994</v>
      </c>
      <c r="G22" s="1" t="str">
        <f t="shared" si="1"/>
        <v>Geçti</v>
      </c>
      <c r="H22">
        <f t="shared" si="2"/>
        <v>30</v>
      </c>
      <c r="I22" t="str">
        <f t="shared" si="3"/>
        <v>Orta</v>
      </c>
    </row>
    <row r="23" spans="1:9">
      <c r="A23" s="1">
        <v>1022</v>
      </c>
      <c r="B23" s="1" t="s">
        <v>26</v>
      </c>
      <c r="C23" s="1" t="s">
        <v>55</v>
      </c>
      <c r="D23" s="1">
        <v>89</v>
      </c>
      <c r="E23" s="1">
        <v>90</v>
      </c>
      <c r="F23" s="1">
        <f t="shared" si="0"/>
        <v>89.6</v>
      </c>
      <c r="G23" s="1" t="str">
        <f t="shared" si="1"/>
        <v>Geçti</v>
      </c>
      <c r="H23">
        <f t="shared" si="2"/>
        <v>5</v>
      </c>
      <c r="I23" t="str">
        <f t="shared" si="3"/>
        <v>Çok İyi</v>
      </c>
    </row>
    <row r="24" spans="1:9">
      <c r="A24" s="1">
        <v>1023</v>
      </c>
      <c r="B24" s="1" t="s">
        <v>27</v>
      </c>
      <c r="C24" s="1" t="s">
        <v>55</v>
      </c>
      <c r="D24" s="1">
        <v>44</v>
      </c>
      <c r="E24" s="1">
        <v>57</v>
      </c>
      <c r="F24" s="1">
        <f t="shared" si="0"/>
        <v>51.8</v>
      </c>
      <c r="G24" s="1" t="str">
        <f t="shared" si="1"/>
        <v>Kaldı</v>
      </c>
      <c r="H24">
        <f t="shared" si="2"/>
        <v>43</v>
      </c>
      <c r="I24" t="str">
        <f t="shared" si="3"/>
        <v>Başarısız</v>
      </c>
    </row>
    <row r="25" spans="1:9">
      <c r="A25" s="1">
        <v>1024</v>
      </c>
      <c r="B25" s="1" t="s">
        <v>28</v>
      </c>
      <c r="C25" s="1" t="s">
        <v>55</v>
      </c>
      <c r="D25" s="1">
        <v>73</v>
      </c>
      <c r="E25" s="1">
        <v>78</v>
      </c>
      <c r="F25" s="1">
        <f t="shared" si="0"/>
        <v>76</v>
      </c>
      <c r="G25" s="1" t="str">
        <f t="shared" si="1"/>
        <v>Geçti</v>
      </c>
      <c r="H25">
        <f t="shared" si="2"/>
        <v>20</v>
      </c>
      <c r="I25" t="str">
        <f t="shared" si="3"/>
        <v>İyi</v>
      </c>
    </row>
    <row r="26" spans="1:9">
      <c r="A26" s="1">
        <v>1025</v>
      </c>
      <c r="B26" s="1" t="s">
        <v>29</v>
      </c>
      <c r="C26" s="1" t="s">
        <v>55</v>
      </c>
      <c r="D26" s="1">
        <v>58</v>
      </c>
      <c r="E26" s="1">
        <v>64</v>
      </c>
      <c r="F26" s="1">
        <f t="shared" si="0"/>
        <v>61.6</v>
      </c>
      <c r="G26" s="1" t="str">
        <f t="shared" si="1"/>
        <v>Geçti</v>
      </c>
      <c r="H26">
        <f t="shared" si="2"/>
        <v>34</v>
      </c>
      <c r="I26" t="str">
        <f t="shared" si="3"/>
        <v>Orta</v>
      </c>
    </row>
    <row r="27" spans="1:9">
      <c r="A27" s="1">
        <v>1026</v>
      </c>
      <c r="B27" s="1" t="s">
        <v>31</v>
      </c>
      <c r="C27" s="1" t="s">
        <v>55</v>
      </c>
      <c r="D27" s="1">
        <v>81</v>
      </c>
      <c r="E27" s="1">
        <v>86</v>
      </c>
      <c r="F27" s="1">
        <f t="shared" si="0"/>
        <v>84</v>
      </c>
      <c r="G27" s="1" t="str">
        <f t="shared" si="1"/>
        <v>Geçti</v>
      </c>
      <c r="H27">
        <f t="shared" si="2"/>
        <v>11</v>
      </c>
      <c r="I27" t="str">
        <f t="shared" si="3"/>
        <v>İyi</v>
      </c>
    </row>
    <row r="28" spans="1:9">
      <c r="A28" s="1">
        <v>1027</v>
      </c>
      <c r="B28" s="1" t="s">
        <v>32</v>
      </c>
      <c r="C28" s="1" t="s">
        <v>55</v>
      </c>
      <c r="D28" s="1">
        <v>39</v>
      </c>
      <c r="E28" s="1">
        <v>48</v>
      </c>
      <c r="F28" s="1">
        <f t="shared" si="0"/>
        <v>44.4</v>
      </c>
      <c r="G28" s="1" t="str">
        <f t="shared" si="1"/>
        <v>Kaldı</v>
      </c>
      <c r="H28">
        <f t="shared" si="2"/>
        <v>48</v>
      </c>
      <c r="I28" t="str">
        <f t="shared" si="3"/>
        <v>Başarısız</v>
      </c>
    </row>
    <row r="29" spans="1:9">
      <c r="A29" s="1">
        <v>1028</v>
      </c>
      <c r="B29" s="1" t="s">
        <v>33</v>
      </c>
      <c r="C29" s="1" t="s">
        <v>55</v>
      </c>
      <c r="D29" s="1">
        <v>67</v>
      </c>
      <c r="E29" s="1">
        <v>75</v>
      </c>
      <c r="F29" s="1">
        <f t="shared" si="0"/>
        <v>71.8</v>
      </c>
      <c r="G29" s="1" t="str">
        <f t="shared" si="1"/>
        <v>Geçti</v>
      </c>
      <c r="H29">
        <f t="shared" si="2"/>
        <v>23</v>
      </c>
      <c r="I29" t="str">
        <f t="shared" si="3"/>
        <v>İyi</v>
      </c>
    </row>
    <row r="30" spans="1:9">
      <c r="A30" s="1">
        <v>1029</v>
      </c>
      <c r="B30" s="1" t="s">
        <v>34</v>
      </c>
      <c r="C30" s="1" t="s">
        <v>55</v>
      </c>
      <c r="D30" s="1">
        <v>74</v>
      </c>
      <c r="E30" s="1">
        <v>69</v>
      </c>
      <c r="F30" s="1">
        <f t="shared" si="0"/>
        <v>71</v>
      </c>
      <c r="G30" s="1" t="str">
        <f t="shared" si="1"/>
        <v>Geçti</v>
      </c>
      <c r="H30">
        <f t="shared" si="2"/>
        <v>24</v>
      </c>
      <c r="I30" t="str">
        <f t="shared" si="3"/>
        <v>İyi</v>
      </c>
    </row>
    <row r="31" spans="1:9">
      <c r="A31" s="1">
        <v>1030</v>
      </c>
      <c r="B31" s="1" t="s">
        <v>35</v>
      </c>
      <c r="C31" s="1" t="s">
        <v>55</v>
      </c>
      <c r="D31" s="1">
        <v>92</v>
      </c>
      <c r="E31" s="1">
        <v>94</v>
      </c>
      <c r="F31" s="1">
        <f t="shared" si="0"/>
        <v>93.2</v>
      </c>
      <c r="G31" s="1" t="str">
        <f t="shared" si="1"/>
        <v>Geçti</v>
      </c>
      <c r="H31">
        <f t="shared" si="2"/>
        <v>2</v>
      </c>
      <c r="I31" t="str">
        <f t="shared" si="3"/>
        <v>Çok İyi</v>
      </c>
    </row>
    <row r="32" spans="1:9">
      <c r="A32" s="1">
        <v>1031</v>
      </c>
      <c r="B32" s="1" t="s">
        <v>30</v>
      </c>
      <c r="C32" s="1" t="s">
        <v>55</v>
      </c>
      <c r="D32" s="1">
        <v>55</v>
      </c>
      <c r="E32" s="1">
        <v>61</v>
      </c>
      <c r="F32" s="1">
        <f t="shared" si="0"/>
        <v>58.6</v>
      </c>
      <c r="G32" s="1" t="str">
        <f t="shared" si="1"/>
        <v>Kaldı</v>
      </c>
      <c r="H32">
        <f t="shared" si="2"/>
        <v>37</v>
      </c>
      <c r="I32" t="str">
        <f t="shared" si="3"/>
        <v>Başarısız</v>
      </c>
    </row>
    <row r="33" spans="1:9">
      <c r="A33" s="1">
        <v>1032</v>
      </c>
      <c r="B33" s="1" t="s">
        <v>36</v>
      </c>
      <c r="C33" s="1" t="s">
        <v>55</v>
      </c>
      <c r="D33" s="1">
        <v>79</v>
      </c>
      <c r="E33" s="1">
        <v>85</v>
      </c>
      <c r="F33" s="1">
        <f t="shared" si="0"/>
        <v>82.6</v>
      </c>
      <c r="G33" s="1" t="str">
        <f t="shared" si="1"/>
        <v>Geçti</v>
      </c>
      <c r="H33">
        <f t="shared" si="2"/>
        <v>12</v>
      </c>
      <c r="I33" t="str">
        <f t="shared" si="3"/>
        <v>İyi</v>
      </c>
    </row>
    <row r="34" spans="1:9">
      <c r="A34" s="1">
        <v>1033</v>
      </c>
      <c r="B34" s="1" t="s">
        <v>37</v>
      </c>
      <c r="C34" s="1" t="s">
        <v>55</v>
      </c>
      <c r="D34" s="1">
        <v>42</v>
      </c>
      <c r="E34" s="1">
        <v>53</v>
      </c>
      <c r="F34" s="1">
        <f t="shared" si="0"/>
        <v>48.599999999999994</v>
      </c>
      <c r="G34" s="1" t="str">
        <f t="shared" si="1"/>
        <v>Kaldı</v>
      </c>
      <c r="H34">
        <f t="shared" si="2"/>
        <v>46</v>
      </c>
      <c r="I34" t="str">
        <f t="shared" si="3"/>
        <v>Başarısız</v>
      </c>
    </row>
    <row r="35" spans="1:9">
      <c r="A35" s="1">
        <v>1034</v>
      </c>
      <c r="B35" s="1" t="s">
        <v>38</v>
      </c>
      <c r="C35" s="1" t="s">
        <v>55</v>
      </c>
      <c r="D35" s="1">
        <v>86</v>
      </c>
      <c r="E35" s="1">
        <v>89</v>
      </c>
      <c r="F35" s="1">
        <f t="shared" si="0"/>
        <v>87.8</v>
      </c>
      <c r="G35" s="1" t="str">
        <f t="shared" si="1"/>
        <v>Geçti</v>
      </c>
      <c r="H35">
        <f t="shared" si="2"/>
        <v>9</v>
      </c>
      <c r="I35" t="str">
        <f t="shared" si="3"/>
        <v>Çok İyi</v>
      </c>
    </row>
    <row r="36" spans="1:9">
      <c r="A36" s="1">
        <v>1035</v>
      </c>
      <c r="B36" s="1" t="s">
        <v>39</v>
      </c>
      <c r="C36" s="1" t="s">
        <v>55</v>
      </c>
      <c r="D36" s="1">
        <v>63</v>
      </c>
      <c r="E36" s="1">
        <v>72</v>
      </c>
      <c r="F36" s="1">
        <f t="shared" si="0"/>
        <v>68.400000000000006</v>
      </c>
      <c r="G36" s="1" t="str">
        <f t="shared" si="1"/>
        <v>Geçti</v>
      </c>
      <c r="H36">
        <f t="shared" si="2"/>
        <v>27</v>
      </c>
      <c r="I36" t="str">
        <f t="shared" si="3"/>
        <v>Orta</v>
      </c>
    </row>
    <row r="37" spans="1:9">
      <c r="A37" s="1">
        <v>1036</v>
      </c>
      <c r="B37" s="1" t="s">
        <v>40</v>
      </c>
      <c r="C37" s="1" t="s">
        <v>55</v>
      </c>
      <c r="D37" s="1">
        <v>49</v>
      </c>
      <c r="E37" s="1">
        <v>59</v>
      </c>
      <c r="F37" s="1">
        <f t="shared" si="0"/>
        <v>55</v>
      </c>
      <c r="G37" s="1" t="str">
        <f t="shared" si="1"/>
        <v>Kaldı</v>
      </c>
      <c r="H37">
        <f t="shared" si="2"/>
        <v>39</v>
      </c>
      <c r="I37" t="str">
        <f t="shared" si="3"/>
        <v>Başarısız</v>
      </c>
    </row>
    <row r="38" spans="1:9">
      <c r="A38" s="1">
        <v>1037</v>
      </c>
      <c r="B38" s="1" t="s">
        <v>41</v>
      </c>
      <c r="C38" s="1" t="s">
        <v>55</v>
      </c>
      <c r="D38" s="1">
        <v>83</v>
      </c>
      <c r="E38" s="1">
        <v>80</v>
      </c>
      <c r="F38" s="1">
        <f t="shared" si="0"/>
        <v>81.2</v>
      </c>
      <c r="G38" s="1" t="str">
        <f t="shared" si="1"/>
        <v>Geçti</v>
      </c>
      <c r="H38">
        <f t="shared" si="2"/>
        <v>14</v>
      </c>
      <c r="I38" t="str">
        <f t="shared" si="3"/>
        <v>İyi</v>
      </c>
    </row>
    <row r="39" spans="1:9">
      <c r="A39" s="1">
        <v>1038</v>
      </c>
      <c r="B39" s="1" t="s">
        <v>42</v>
      </c>
      <c r="C39" s="1" t="s">
        <v>55</v>
      </c>
      <c r="D39" s="1">
        <v>57</v>
      </c>
      <c r="E39" s="1">
        <v>66</v>
      </c>
      <c r="F39" s="1">
        <f t="shared" si="0"/>
        <v>62.400000000000006</v>
      </c>
      <c r="G39" s="1" t="str">
        <f t="shared" si="1"/>
        <v>Geçti</v>
      </c>
      <c r="H39">
        <f t="shared" si="2"/>
        <v>32</v>
      </c>
      <c r="I39" t="str">
        <f t="shared" si="3"/>
        <v>Orta</v>
      </c>
    </row>
    <row r="40" spans="1:9">
      <c r="A40" s="1">
        <v>1039</v>
      </c>
      <c r="B40" s="1" t="s">
        <v>43</v>
      </c>
      <c r="C40" s="1" t="s">
        <v>55</v>
      </c>
      <c r="D40" s="1">
        <v>90</v>
      </c>
      <c r="E40" s="1">
        <v>93</v>
      </c>
      <c r="F40" s="1">
        <f t="shared" si="0"/>
        <v>91.8</v>
      </c>
      <c r="G40" s="1" t="str">
        <f t="shared" si="1"/>
        <v>Geçti</v>
      </c>
      <c r="H40">
        <f t="shared" si="2"/>
        <v>3</v>
      </c>
      <c r="I40" t="str">
        <f t="shared" si="3"/>
        <v>Çok İyi</v>
      </c>
    </row>
    <row r="41" spans="1:9">
      <c r="A41" s="1">
        <v>1040</v>
      </c>
      <c r="B41" s="1" t="s">
        <v>44</v>
      </c>
      <c r="C41" s="1" t="s">
        <v>55</v>
      </c>
      <c r="D41" s="1">
        <v>51</v>
      </c>
      <c r="E41" s="1">
        <v>54</v>
      </c>
      <c r="F41" s="1">
        <f t="shared" si="0"/>
        <v>52.8</v>
      </c>
      <c r="G41" s="1" t="str">
        <f t="shared" si="1"/>
        <v>Kaldı</v>
      </c>
      <c r="H41">
        <f t="shared" si="2"/>
        <v>41</v>
      </c>
      <c r="I41" t="str">
        <f t="shared" si="3"/>
        <v>Başarısız</v>
      </c>
    </row>
    <row r="42" spans="1:9">
      <c r="A42" s="1">
        <v>1041</v>
      </c>
      <c r="B42" s="1" t="s">
        <v>45</v>
      </c>
      <c r="C42" s="1" t="s">
        <v>55</v>
      </c>
      <c r="D42" s="1">
        <v>77</v>
      </c>
      <c r="E42" s="1">
        <v>81</v>
      </c>
      <c r="F42" s="1">
        <f t="shared" si="0"/>
        <v>79.400000000000006</v>
      </c>
      <c r="G42" s="1" t="str">
        <f t="shared" si="1"/>
        <v>Geçti</v>
      </c>
      <c r="H42">
        <f t="shared" si="2"/>
        <v>18</v>
      </c>
      <c r="I42" t="str">
        <f t="shared" si="3"/>
        <v>İyi</v>
      </c>
    </row>
    <row r="43" spans="1:9">
      <c r="A43" s="1">
        <v>1042</v>
      </c>
      <c r="B43" s="1" t="s">
        <v>46</v>
      </c>
      <c r="C43" s="1" t="s">
        <v>55</v>
      </c>
      <c r="D43" s="1">
        <v>36</v>
      </c>
      <c r="E43" s="1">
        <v>44</v>
      </c>
      <c r="F43" s="1">
        <f t="shared" si="0"/>
        <v>40.799999999999997</v>
      </c>
      <c r="G43" s="1" t="str">
        <f t="shared" si="1"/>
        <v>Kaldı</v>
      </c>
      <c r="H43">
        <f t="shared" si="2"/>
        <v>50</v>
      </c>
      <c r="I43" t="str">
        <f t="shared" si="3"/>
        <v>Başarısız</v>
      </c>
    </row>
    <row r="44" spans="1:9">
      <c r="A44" s="1">
        <v>1043</v>
      </c>
      <c r="B44" s="1" t="s">
        <v>47</v>
      </c>
      <c r="C44" s="1" t="s">
        <v>55</v>
      </c>
      <c r="D44" s="1">
        <v>69</v>
      </c>
      <c r="E44" s="1">
        <v>77</v>
      </c>
      <c r="F44" s="1">
        <f t="shared" si="0"/>
        <v>73.8</v>
      </c>
      <c r="G44" s="1" t="str">
        <f t="shared" si="1"/>
        <v>Geçti</v>
      </c>
      <c r="H44">
        <f t="shared" si="2"/>
        <v>22</v>
      </c>
      <c r="I44" t="str">
        <f t="shared" si="3"/>
        <v>İyi</v>
      </c>
    </row>
    <row r="45" spans="1:9">
      <c r="A45" s="1">
        <v>1044</v>
      </c>
      <c r="B45" s="1" t="s">
        <v>48</v>
      </c>
      <c r="C45" s="1" t="s">
        <v>55</v>
      </c>
      <c r="D45" s="1">
        <v>64</v>
      </c>
      <c r="E45" s="1">
        <v>71</v>
      </c>
      <c r="F45" s="1">
        <f t="shared" si="0"/>
        <v>68.2</v>
      </c>
      <c r="G45" s="1" t="str">
        <f t="shared" si="1"/>
        <v>Geçti</v>
      </c>
      <c r="H45">
        <f t="shared" si="2"/>
        <v>28</v>
      </c>
      <c r="I45" t="str">
        <f t="shared" si="3"/>
        <v>Orta</v>
      </c>
    </row>
    <row r="46" spans="1:9">
      <c r="A46" s="1">
        <v>1045</v>
      </c>
      <c r="B46" s="1" t="s">
        <v>49</v>
      </c>
      <c r="C46" s="1" t="s">
        <v>55</v>
      </c>
      <c r="D46" s="1">
        <v>87</v>
      </c>
      <c r="E46" s="1">
        <v>88</v>
      </c>
      <c r="F46" s="1">
        <f t="shared" si="0"/>
        <v>87.6</v>
      </c>
      <c r="G46" s="1" t="str">
        <f t="shared" si="1"/>
        <v>Geçti</v>
      </c>
      <c r="H46">
        <f t="shared" si="2"/>
        <v>10</v>
      </c>
      <c r="I46" t="str">
        <f t="shared" si="3"/>
        <v>Çok İyi</v>
      </c>
    </row>
    <row r="47" spans="1:9">
      <c r="A47" s="1">
        <v>1046</v>
      </c>
      <c r="B47" s="1" t="s">
        <v>50</v>
      </c>
      <c r="C47" s="1" t="s">
        <v>55</v>
      </c>
      <c r="D47" s="1">
        <v>53</v>
      </c>
      <c r="E47" s="1">
        <v>60</v>
      </c>
      <c r="F47" s="1">
        <f t="shared" si="0"/>
        <v>57.2</v>
      </c>
      <c r="G47" s="1" t="str">
        <f t="shared" si="1"/>
        <v>Kaldı</v>
      </c>
      <c r="H47">
        <f t="shared" si="2"/>
        <v>38</v>
      </c>
      <c r="I47" t="str">
        <f t="shared" si="3"/>
        <v>Başarısız</v>
      </c>
    </row>
    <row r="48" spans="1:9">
      <c r="A48" s="1">
        <v>1047</v>
      </c>
      <c r="B48" s="1" t="s">
        <v>51</v>
      </c>
      <c r="C48" s="1" t="s">
        <v>55</v>
      </c>
      <c r="D48" s="1">
        <v>75</v>
      </c>
      <c r="E48" s="1">
        <v>83</v>
      </c>
      <c r="F48" s="1">
        <f t="shared" si="0"/>
        <v>79.8</v>
      </c>
      <c r="G48" s="1" t="str">
        <f t="shared" si="1"/>
        <v>Geçti</v>
      </c>
      <c r="H48">
        <f t="shared" si="2"/>
        <v>16</v>
      </c>
      <c r="I48" t="str">
        <f t="shared" si="3"/>
        <v>İyi</v>
      </c>
    </row>
    <row r="49" spans="1:9">
      <c r="A49" s="1">
        <v>1048</v>
      </c>
      <c r="B49" s="1" t="s">
        <v>52</v>
      </c>
      <c r="C49" s="1" t="s">
        <v>55</v>
      </c>
      <c r="D49" s="1">
        <v>45</v>
      </c>
      <c r="E49" s="1">
        <v>52</v>
      </c>
      <c r="F49" s="1">
        <f t="shared" si="0"/>
        <v>49.2</v>
      </c>
      <c r="G49" s="1" t="str">
        <f t="shared" si="1"/>
        <v>Kaldı</v>
      </c>
      <c r="H49">
        <f t="shared" si="2"/>
        <v>45</v>
      </c>
      <c r="I49" t="str">
        <f t="shared" si="3"/>
        <v>Başarısız</v>
      </c>
    </row>
    <row r="50" spans="1:9">
      <c r="A50" s="1">
        <v>1049</v>
      </c>
      <c r="B50" s="1" t="s">
        <v>53</v>
      </c>
      <c r="C50" s="1" t="s">
        <v>55</v>
      </c>
      <c r="D50" s="1">
        <v>84</v>
      </c>
      <c r="E50" s="1">
        <v>91</v>
      </c>
      <c r="F50" s="1">
        <f t="shared" si="0"/>
        <v>88.2</v>
      </c>
      <c r="G50" s="1" t="str">
        <f t="shared" si="1"/>
        <v>Geçti</v>
      </c>
      <c r="H50">
        <f t="shared" si="2"/>
        <v>8</v>
      </c>
      <c r="I50" t="str">
        <f t="shared" si="3"/>
        <v>Çok İyi</v>
      </c>
    </row>
    <row r="51" spans="1:9">
      <c r="A51" s="1">
        <v>1050</v>
      </c>
      <c r="B51" s="1" t="s">
        <v>54</v>
      </c>
      <c r="C51" s="1" t="s">
        <v>55</v>
      </c>
      <c r="D51" s="1">
        <v>60</v>
      </c>
      <c r="E51" s="1">
        <v>65</v>
      </c>
      <c r="F51" s="1">
        <f t="shared" si="0"/>
        <v>63</v>
      </c>
      <c r="G51" s="1" t="str">
        <f t="shared" si="1"/>
        <v>Geçti</v>
      </c>
      <c r="H51">
        <f t="shared" si="2"/>
        <v>31</v>
      </c>
      <c r="I51" t="str">
        <f t="shared" si="3"/>
        <v>Orta</v>
      </c>
    </row>
    <row r="52" spans="1:9">
      <c r="G5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45BB-1AF7-446C-B595-B7E7F85BB57D}">
  <dimension ref="A1:D11"/>
  <sheetViews>
    <sheetView zoomScale="80" workbookViewId="0">
      <selection sqref="A1:B3"/>
    </sheetView>
  </sheetViews>
  <sheetFormatPr defaultRowHeight="14.4"/>
  <cols>
    <col min="1" max="1" width="14.77734375" bestFit="1" customWidth="1"/>
    <col min="2" max="2" width="13.88671875" bestFit="1" customWidth="1"/>
    <col min="3" max="3" width="12.6640625" bestFit="1" customWidth="1"/>
    <col min="4" max="4" width="13.21875" bestFit="1" customWidth="1"/>
  </cols>
  <sheetData>
    <row r="1" spans="1:4">
      <c r="A1" t="s">
        <v>65</v>
      </c>
      <c r="B1" t="s">
        <v>80</v>
      </c>
      <c r="C1" t="s">
        <v>69</v>
      </c>
      <c r="D1" t="s">
        <v>70</v>
      </c>
    </row>
    <row r="2" spans="1:4">
      <c r="A2" t="s">
        <v>67</v>
      </c>
      <c r="B2">
        <f>COUNTIF(Veri!G2:G51,"Geçti")</f>
        <v>36</v>
      </c>
      <c r="C2">
        <f>AVERAGEIF(Veri!G2:G51,"Geçti",Veri!D2:D51)</f>
        <v>74.166666666666671</v>
      </c>
      <c r="D2">
        <f>AVERAGEIF(Veri!G2:G51,"Geçti",Veri!E2:E51)</f>
        <v>78.972222222222229</v>
      </c>
    </row>
    <row r="3" spans="1:4">
      <c r="A3" t="s">
        <v>68</v>
      </c>
      <c r="B3">
        <f>COUNTIF(Veri!G2:G51,"Kaldı")</f>
        <v>14</v>
      </c>
      <c r="C3">
        <f>AVERAGEIF(Veri!G2:G51,"Kaldı",Veri!D2:D51)</f>
        <v>45.714285714285715</v>
      </c>
      <c r="D3">
        <f>AVERAGEIF(Veri!G2:G51,"Kaldı",Veri!E2:E51)</f>
        <v>53.285714285714285</v>
      </c>
    </row>
    <row r="4" spans="1:4">
      <c r="A4" t="s">
        <v>66</v>
      </c>
      <c r="B4">
        <f>COUNTA(Veri!A2:A51)</f>
        <v>50</v>
      </c>
      <c r="C4">
        <f>AVERAGE(Veri!D2:D51)</f>
        <v>66.2</v>
      </c>
      <c r="D4" s="10">
        <f>AVERAGE(Veri!E2:E51)</f>
        <v>71.78</v>
      </c>
    </row>
    <row r="7" spans="1:4">
      <c r="A7" t="s">
        <v>75</v>
      </c>
      <c r="B7" t="s">
        <v>80</v>
      </c>
    </row>
    <row r="8" spans="1:4">
      <c r="A8" t="s">
        <v>76</v>
      </c>
      <c r="B8">
        <f>COUNTIF(Veri!I2:I51,A8)</f>
        <v>10</v>
      </c>
    </row>
    <row r="9" spans="1:4">
      <c r="A9" t="s">
        <v>77</v>
      </c>
      <c r="B9">
        <f>COUNTIF(Veri!I2:I51,A9)</f>
        <v>16</v>
      </c>
    </row>
    <row r="10" spans="1:4">
      <c r="A10" t="s">
        <v>78</v>
      </c>
      <c r="B10">
        <f>COUNTIF(Veri!I2:I51,A10)</f>
        <v>10</v>
      </c>
    </row>
    <row r="11" spans="1:4">
      <c r="A11" t="s">
        <v>79</v>
      </c>
      <c r="B11">
        <f>COUNTIF(Veri!I2:I51,A11)</f>
        <v>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ADB1-43C6-472A-BCC4-BDB71C581324}">
  <dimension ref="A1:I8"/>
  <sheetViews>
    <sheetView workbookViewId="0">
      <selection activeCell="G20" sqref="G20"/>
    </sheetView>
  </sheetViews>
  <sheetFormatPr defaultRowHeight="14.4"/>
  <cols>
    <col min="1" max="1" width="34.44140625" customWidth="1"/>
    <col min="2" max="2" width="20" customWidth="1"/>
    <col min="4" max="4" width="18.77734375" customWidth="1"/>
    <col min="6" max="6" width="12.5546875" customWidth="1"/>
    <col min="7" max="7" width="12.77734375" customWidth="1"/>
    <col min="8" max="8" width="11.6640625" customWidth="1"/>
  </cols>
  <sheetData>
    <row r="1" spans="1:9">
      <c r="A1" t="s">
        <v>58</v>
      </c>
      <c r="B1">
        <f>AVERAGE(Veri!F2:F51)</f>
        <v>69.547999999999988</v>
      </c>
      <c r="G1" t="s">
        <v>81</v>
      </c>
    </row>
    <row r="2" spans="1:9">
      <c r="A2" t="s">
        <v>59</v>
      </c>
      <c r="B2">
        <f>MAX(Veri!F2:F51)</f>
        <v>95.199999999999989</v>
      </c>
      <c r="G2" t="s">
        <v>82</v>
      </c>
      <c r="H2" t="s">
        <v>83</v>
      </c>
      <c r="I2" t="s">
        <v>56</v>
      </c>
    </row>
    <row r="3" spans="1:9">
      <c r="A3" t="s">
        <v>60</v>
      </c>
      <c r="B3">
        <f>MIN(Veri!F2:F51)</f>
        <v>40.799999999999997</v>
      </c>
      <c r="G3">
        <v>1</v>
      </c>
      <c r="H3" t="str">
        <f>INDEX(Veri!$B$2:$B$51,MATCH(G3,Veri!$H$2:$H$51,0))</f>
        <v>Nazlı Erdem</v>
      </c>
      <c r="I3">
        <f>INDEX(Veri!$F$2:$F$51,MATCH(G3,Veri!$H$2:$H$51,0))</f>
        <v>95.199999999999989</v>
      </c>
    </row>
    <row r="4" spans="1:9">
      <c r="A4" t="s">
        <v>61</v>
      </c>
      <c r="B4">
        <f>COUNTIF(Veri!G2:G51,"Geçti")</f>
        <v>36</v>
      </c>
      <c r="G4">
        <v>2</v>
      </c>
      <c r="H4" t="str">
        <f>INDEX(Veri!$B$2:$B$51,MATCH(G4,Veri!$H$2:$H$51,0))</f>
        <v>Okan Karataş</v>
      </c>
      <c r="I4">
        <f>INDEX(Veri!$F$2:$F$51,MATCH(G4,Veri!$H$2:$H$51,0))</f>
        <v>93.2</v>
      </c>
    </row>
    <row r="5" spans="1:9">
      <c r="A5" t="s">
        <v>62</v>
      </c>
      <c r="B5">
        <f>COUNTIF(Veri!G2:G51,"Kaldı")</f>
        <v>14</v>
      </c>
      <c r="G5">
        <v>3</v>
      </c>
      <c r="H5" t="str">
        <f>INDEX(Veri!$B$2:$B$51,MATCH(G5,Veri!$H$2:$H$51,0))</f>
        <v>Aslı Çoban</v>
      </c>
      <c r="I5">
        <f>INDEX(Veri!$F$2:$F$51,MATCH(G5,Veri!$H$2:$H$51,0))</f>
        <v>91.8</v>
      </c>
    </row>
    <row r="6" spans="1:9">
      <c r="A6" t="s">
        <v>63</v>
      </c>
      <c r="B6" s="6">
        <f>B4/COUNTA(Veri!A2:A51)</f>
        <v>0.72</v>
      </c>
      <c r="G6">
        <v>4</v>
      </c>
      <c r="H6" t="str">
        <f>INDEX(Veri!$B$2:$B$51,MATCH(G6,Veri!$H$2:$H$51,0))</f>
        <v>Sude Kurt</v>
      </c>
      <c r="I6">
        <f>INDEX(Veri!$F$2:$F$51,MATCH(G6,Veri!$H$2:$H$51,0))</f>
        <v>89.800000000000011</v>
      </c>
    </row>
    <row r="7" spans="1:9">
      <c r="A7" t="s">
        <v>64</v>
      </c>
      <c r="B7" s="6">
        <f>B5/COUNTA(Veri!A2:A51)</f>
        <v>0.28000000000000003</v>
      </c>
      <c r="G7">
        <v>5</v>
      </c>
      <c r="H7" t="str">
        <f>INDEX(Veri!$B$2:$B$51,MATCH(G7,Veri!$H$2:$H$51,0))</f>
        <v>Melis Yalçın</v>
      </c>
      <c r="I7">
        <f>INDEX(Veri!$F$2:$F$51,MATCH(G7,Veri!$H$2:$H$51,0))</f>
        <v>89.6</v>
      </c>
    </row>
    <row r="8" spans="1:9">
      <c r="A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5ED5-712A-41D0-9FA8-741DAAB8C618}">
  <sheetPr transitionEvaluation="1" transitionEntry="1"/>
  <dimension ref="B2:T29"/>
  <sheetViews>
    <sheetView showGridLines="0" tabSelected="1" zoomScale="80" workbookViewId="0">
      <selection activeCell="P5" sqref="P5"/>
    </sheetView>
  </sheetViews>
  <sheetFormatPr defaultRowHeight="14.4"/>
  <cols>
    <col min="2" max="2" width="25.77734375" customWidth="1"/>
    <col min="3" max="3" width="18.33203125" customWidth="1"/>
    <col min="5" max="5" width="25.77734375" customWidth="1"/>
    <col min="6" max="6" width="18" customWidth="1"/>
    <col min="8" max="8" width="25.77734375" customWidth="1"/>
    <col min="10" max="10" width="17.88671875" customWidth="1"/>
    <col min="11" max="11" width="25.77734375" customWidth="1"/>
    <col min="14" max="14" width="17.77734375" customWidth="1"/>
  </cols>
  <sheetData>
    <row r="2" spans="2:20" ht="25.8">
      <c r="B2" s="16" t="s">
        <v>84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0" ht="14.4" customHeight="1">
      <c r="C3" s="8"/>
    </row>
    <row r="4" spans="2:20">
      <c r="B4" s="11" t="s">
        <v>71</v>
      </c>
      <c r="E4" s="11" t="s">
        <v>72</v>
      </c>
      <c r="H4" s="11" t="s">
        <v>73</v>
      </c>
      <c r="K4" s="11" t="s">
        <v>63</v>
      </c>
    </row>
    <row r="5" spans="2:20" ht="21">
      <c r="B5" s="12">
        <f>COUNTA(Veri!A2:A51)</f>
        <v>50</v>
      </c>
      <c r="E5" s="12">
        <f>COUNTIF(Veri!G2:G51,"Geçti")</f>
        <v>36</v>
      </c>
      <c r="H5" s="12">
        <f>COUNTIF(Veri!G2:G51,"Kaldı")</f>
        <v>14</v>
      </c>
      <c r="K5" s="13">
        <f>COUNTIF(Veri!G2:G51,"Geçti")/COUNTA(Veri!A2:A51)</f>
        <v>0.72</v>
      </c>
    </row>
    <row r="7" spans="2:20">
      <c r="H7" s="14"/>
    </row>
    <row r="8" spans="2:20">
      <c r="B8" s="11" t="s">
        <v>58</v>
      </c>
      <c r="E8" s="11" t="s">
        <v>85</v>
      </c>
      <c r="H8" s="11" t="s">
        <v>86</v>
      </c>
      <c r="K8" s="11" t="s">
        <v>59</v>
      </c>
    </row>
    <row r="9" spans="2:20" ht="21">
      <c r="B9" s="12">
        <f>AVERAGE(Veri!F2:F51)</f>
        <v>69.547999999999988</v>
      </c>
      <c r="E9" s="12">
        <f>AVERAGE(Veri!D2:D51)</f>
        <v>66.2</v>
      </c>
      <c r="H9" s="15">
        <f>AVERAGE(Veri!E2:E51)</f>
        <v>71.78</v>
      </c>
      <c r="K9" s="12">
        <f>MAX(Veri!F2:F51)</f>
        <v>95.199999999999989</v>
      </c>
    </row>
    <row r="27" spans="2:2">
      <c r="B27" t="s">
        <v>87</v>
      </c>
    </row>
    <row r="28" spans="2:2">
      <c r="B28" t="s">
        <v>88</v>
      </c>
    </row>
    <row r="29" spans="2:2">
      <c r="B29" t="s">
        <v>89</v>
      </c>
    </row>
  </sheetData>
  <mergeCells count="1">
    <mergeCell ref="B2:T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Veri</vt:lpstr>
      <vt:lpstr>ÖZET TABLO</vt:lpstr>
      <vt:lpstr>ANALİZ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şimal zor</dc:creator>
  <cp:lastModifiedBy>nida şimal zor</cp:lastModifiedBy>
  <dcterms:created xsi:type="dcterms:W3CDTF">2026-09-08T11:16:49Z</dcterms:created>
  <dcterms:modified xsi:type="dcterms:W3CDTF">2026-09-16T14:02:05Z</dcterms:modified>
</cp:coreProperties>
</file>